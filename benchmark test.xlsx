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selljlatterman/Desktop/Dissertation/Bayesian Online ARMA using Gen Gibbs (GGS)/"/>
    </mc:Choice>
  </mc:AlternateContent>
  <xr:revisionPtr revIDLastSave="0" documentId="8_{A0939117-EDC4-7E4C-8B19-E9A96BBCF26B}" xr6:coauthVersionLast="47" xr6:coauthVersionMax="47" xr10:uidLastSave="{00000000-0000-0000-0000-000000000000}"/>
  <bookViews>
    <workbookView xWindow="2240" yWindow="1660" windowWidth="21520" windowHeight="20640" xr2:uid="{DB53820F-6AFC-8D42-B37E-B2F17B29287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0" i="1" l="1"/>
  <c r="D130" i="1"/>
  <c r="E130" i="1"/>
  <c r="B130" i="1"/>
  <c r="F32" i="1"/>
  <c r="E43" i="1"/>
  <c r="L89" i="1"/>
  <c r="M89" i="1"/>
  <c r="N89" i="1"/>
  <c r="K89" i="1"/>
  <c r="D43" i="1"/>
  <c r="C43" i="1"/>
  <c r="C104" i="1"/>
  <c r="D104" i="1"/>
  <c r="E104" i="1"/>
  <c r="B104" i="1"/>
  <c r="B43" i="1"/>
  <c r="A43" i="1"/>
</calcChain>
</file>

<file path=xl/sharedStrings.xml><?xml version="1.0" encoding="utf-8"?>
<sst xmlns="http://schemas.openxmlformats.org/spreadsheetml/2006/main" count="29" uniqueCount="24">
  <si>
    <t>3k iterations</t>
  </si>
  <si>
    <t xml:space="preserve"> of just demo</t>
  </si>
  <si>
    <t>Insertion Deletion update</t>
  </si>
  <si>
    <t>1k</t>
  </si>
  <si>
    <t>10k</t>
  </si>
  <si>
    <t>insertion_deletion_demo</t>
  </si>
  <si>
    <t>5k</t>
  </si>
  <si>
    <t>50k</t>
  </si>
  <si>
    <t>CPU load</t>
  </si>
  <si>
    <t>20 to 28 fluctuating</t>
  </si>
  <si>
    <t>Memory Matlab</t>
  </si>
  <si>
    <t>Memory Used</t>
  </si>
  <si>
    <t>Two instances</t>
  </si>
  <si>
    <t>Matlab Ram</t>
  </si>
  <si>
    <t>Memory used</t>
  </si>
  <si>
    <t>42 to 50</t>
  </si>
  <si>
    <t>system heating up</t>
  </si>
  <si>
    <t>CPU</t>
  </si>
  <si>
    <t>Energy impact</t>
  </si>
  <si>
    <t>Four instances</t>
  </si>
  <si>
    <t>Idle CPU</t>
  </si>
  <si>
    <t>3 to 20</t>
  </si>
  <si>
    <t>10k (two runs of 10)</t>
  </si>
  <si>
    <t>10k 20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</si>
</sst>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righ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A5EA-1BDC-D24B-A910-D738E21D197E}">
  <dimension ref="A1:N130"/>
  <sheetViews>
    <sheetView tabSelected="1" workbookViewId="0">
      <selection activeCell="F128" sqref="F128"/>
    </sheetView>
  </sheetViews>
  <sheetFormatPr baseColWidth="10" defaultRowHeight="16" x14ac:dyDescent="0.2"/>
  <cols>
    <col min="1" max="1" width="17.5" customWidth="1"/>
    <col min="2" max="2" width="15.5" customWidth="1"/>
    <col min="3" max="3" width="12.5" customWidth="1"/>
    <col min="4" max="4" width="18.5" customWidth="1"/>
    <col min="5" max="5" width="18.83203125" customWidth="1"/>
    <col min="6" max="6" width="18" customWidth="1"/>
    <col min="7" max="7" width="16.1640625" customWidth="1"/>
  </cols>
  <sheetData>
    <row r="1" spans="1:2" x14ac:dyDescent="0.2">
      <c r="A1" t="s">
        <v>0</v>
      </c>
      <c r="B1" t="s">
        <v>1</v>
      </c>
    </row>
    <row r="18" spans="1:6" x14ac:dyDescent="0.2">
      <c r="B18" t="s">
        <v>5</v>
      </c>
    </row>
    <row r="19" spans="1:6" x14ac:dyDescent="0.2">
      <c r="B19" t="s">
        <v>2</v>
      </c>
    </row>
    <row r="21" spans="1:6" x14ac:dyDescent="0.2">
      <c r="B21" s="1" t="s">
        <v>3</v>
      </c>
      <c r="C21" s="1" t="s">
        <v>6</v>
      </c>
      <c r="D21" s="1" t="s">
        <v>22</v>
      </c>
      <c r="E21" s="1" t="s">
        <v>23</v>
      </c>
      <c r="F21" s="1" t="s">
        <v>7</v>
      </c>
    </row>
    <row r="22" spans="1:6" x14ac:dyDescent="0.2">
      <c r="A22">
        <v>5.5568</v>
      </c>
      <c r="B22">
        <v>4.96</v>
      </c>
      <c r="C22">
        <v>28.65</v>
      </c>
      <c r="D22">
        <v>65.25</v>
      </c>
      <c r="E22">
        <v>68.977900000000005</v>
      </c>
      <c r="F22">
        <v>352.6</v>
      </c>
    </row>
    <row r="23" spans="1:6" x14ac:dyDescent="0.2">
      <c r="A23">
        <v>5.4562999999999997</v>
      </c>
      <c r="B23">
        <v>4.87</v>
      </c>
      <c r="C23">
        <v>32.68</v>
      </c>
      <c r="D23">
        <v>69.27</v>
      </c>
      <c r="E23">
        <v>67.309700000000007</v>
      </c>
    </row>
    <row r="24" spans="1:6" x14ac:dyDescent="0.2">
      <c r="A24">
        <v>5.5487000000000002</v>
      </c>
      <c r="B24">
        <v>5.33</v>
      </c>
      <c r="C24">
        <v>33.5</v>
      </c>
      <c r="D24">
        <v>64.72</v>
      </c>
      <c r="E24">
        <v>76.409899999999993</v>
      </c>
    </row>
    <row r="25" spans="1:6" x14ac:dyDescent="0.2">
      <c r="A25">
        <v>4.9161999999999999</v>
      </c>
      <c r="B25">
        <v>6.3849999999999998</v>
      </c>
      <c r="C25">
        <v>32.176000000000002</v>
      </c>
      <c r="D25">
        <v>67.010000000000005</v>
      </c>
      <c r="E25">
        <v>66.13</v>
      </c>
    </row>
    <row r="26" spans="1:6" x14ac:dyDescent="0.2">
      <c r="A26">
        <v>5.2682000000000002</v>
      </c>
      <c r="B26">
        <v>5.1100000000000003</v>
      </c>
      <c r="C26">
        <v>32.21</v>
      </c>
      <c r="D26">
        <v>69.849999999999994</v>
      </c>
      <c r="E26">
        <v>74.414100000000005</v>
      </c>
    </row>
    <row r="27" spans="1:6" x14ac:dyDescent="0.2">
      <c r="A27">
        <v>6.4131</v>
      </c>
      <c r="B27">
        <v>4.72</v>
      </c>
      <c r="C27">
        <v>31.84</v>
      </c>
      <c r="D27">
        <v>63.45</v>
      </c>
      <c r="E27">
        <v>74.146299999999997</v>
      </c>
    </row>
    <row r="28" spans="1:6" x14ac:dyDescent="0.2">
      <c r="A28">
        <v>5.7526999999999999</v>
      </c>
      <c r="B28">
        <v>5.42</v>
      </c>
      <c r="C28">
        <v>28.8</v>
      </c>
      <c r="D28">
        <v>65.430000000000007</v>
      </c>
      <c r="E28">
        <v>72.844800000000006</v>
      </c>
    </row>
    <row r="29" spans="1:6" x14ac:dyDescent="0.2">
      <c r="A29">
        <v>4.7945000000000002</v>
      </c>
      <c r="B29">
        <v>5.72</v>
      </c>
      <c r="C29">
        <v>32.619999999999997</v>
      </c>
      <c r="D29">
        <v>70.400000000000006</v>
      </c>
      <c r="E29">
        <v>77.460400000000007</v>
      </c>
    </row>
    <row r="30" spans="1:6" x14ac:dyDescent="0.2">
      <c r="A30">
        <v>4.9598000000000004</v>
      </c>
      <c r="B30">
        <v>5.59</v>
      </c>
      <c r="C30">
        <v>30.67</v>
      </c>
      <c r="D30">
        <v>69.040000000000006</v>
      </c>
      <c r="E30">
        <v>78.448899999999995</v>
      </c>
    </row>
    <row r="31" spans="1:6" x14ac:dyDescent="0.2">
      <c r="A31">
        <v>6.0266999999999999</v>
      </c>
      <c r="B31">
        <v>4.96</v>
      </c>
      <c r="C31">
        <v>34.44</v>
      </c>
      <c r="D31">
        <v>66.58</v>
      </c>
      <c r="E31">
        <v>80.006299999999996</v>
      </c>
    </row>
    <row r="32" spans="1:6" x14ac:dyDescent="0.2">
      <c r="A32">
        <v>5.3032000000000004</v>
      </c>
      <c r="B32">
        <v>4.82</v>
      </c>
      <c r="C32">
        <v>33.65</v>
      </c>
      <c r="D32">
        <v>67.86</v>
      </c>
      <c r="E32">
        <v>75.288700000000006</v>
      </c>
      <c r="F32">
        <f>160*16/60</f>
        <v>42.666666666666664</v>
      </c>
    </row>
    <row r="33" spans="1:5" x14ac:dyDescent="0.2">
      <c r="A33">
        <v>5.1501999999999999</v>
      </c>
      <c r="B33">
        <v>4.74</v>
      </c>
      <c r="C33">
        <v>30.07</v>
      </c>
      <c r="D33">
        <v>64.39</v>
      </c>
      <c r="E33">
        <v>84.499200000000002</v>
      </c>
    </row>
    <row r="34" spans="1:5" x14ac:dyDescent="0.2">
      <c r="A34">
        <v>6.3377999999999997</v>
      </c>
      <c r="B34">
        <v>5.3</v>
      </c>
      <c r="C34">
        <v>32.36</v>
      </c>
      <c r="D34">
        <v>64.31</v>
      </c>
      <c r="E34">
        <v>79.356399999999994</v>
      </c>
    </row>
    <row r="35" spans="1:5" x14ac:dyDescent="0.2">
      <c r="A35">
        <v>5.7055999999999996</v>
      </c>
      <c r="B35">
        <v>5.19</v>
      </c>
      <c r="C35">
        <v>32.46</v>
      </c>
      <c r="D35">
        <v>68.977900000000005</v>
      </c>
      <c r="E35">
        <v>86.198499999999996</v>
      </c>
    </row>
    <row r="36" spans="1:5" x14ac:dyDescent="0.2">
      <c r="A36">
        <v>5.1073000000000004</v>
      </c>
      <c r="B36">
        <v>5.43</v>
      </c>
      <c r="C36">
        <v>37.700000000000003</v>
      </c>
      <c r="D36">
        <v>67.309700000000007</v>
      </c>
      <c r="E36">
        <v>81.680300000000003</v>
      </c>
    </row>
    <row r="37" spans="1:5" x14ac:dyDescent="0.2">
      <c r="A37">
        <v>5.5907999999999998</v>
      </c>
      <c r="B37">
        <v>4.62</v>
      </c>
      <c r="C37">
        <v>30.35</v>
      </c>
      <c r="D37">
        <v>76.409899999999993</v>
      </c>
      <c r="E37">
        <v>81.434100000000001</v>
      </c>
    </row>
    <row r="38" spans="1:5" x14ac:dyDescent="0.2">
      <c r="A38">
        <v>4.7717999999999998</v>
      </c>
      <c r="B38">
        <v>6.5</v>
      </c>
      <c r="C38">
        <v>31.34</v>
      </c>
      <c r="D38">
        <v>66.13</v>
      </c>
      <c r="E38">
        <v>84.852199999999996</v>
      </c>
    </row>
    <row r="39" spans="1:5" x14ac:dyDescent="0.2">
      <c r="A39">
        <v>5.3404999999999996</v>
      </c>
      <c r="B39">
        <v>5</v>
      </c>
      <c r="C39">
        <v>31.54</v>
      </c>
      <c r="D39">
        <v>74.414100000000005</v>
      </c>
      <c r="E39">
        <v>90.221400000000003</v>
      </c>
    </row>
    <row r="40" spans="1:5" x14ac:dyDescent="0.2">
      <c r="A40">
        <v>5.2786999999999997</v>
      </c>
      <c r="B40">
        <v>4.87</v>
      </c>
      <c r="C40">
        <v>32.96</v>
      </c>
      <c r="D40">
        <v>74.146299999999997</v>
      </c>
      <c r="E40">
        <v>82.658000000000001</v>
      </c>
    </row>
    <row r="41" spans="1:5" x14ac:dyDescent="0.2">
      <c r="A41">
        <v>5.1462000000000003</v>
      </c>
      <c r="B41">
        <v>5.17</v>
      </c>
      <c r="C41">
        <v>34.31</v>
      </c>
      <c r="D41">
        <v>72.844800000000006</v>
      </c>
      <c r="E41">
        <v>83.065200000000004</v>
      </c>
    </row>
    <row r="42" spans="1:5" x14ac:dyDescent="0.2">
      <c r="B42">
        <v>5.45</v>
      </c>
      <c r="C42">
        <v>32.4</v>
      </c>
    </row>
    <row r="43" spans="1:5" x14ac:dyDescent="0.2">
      <c r="A43">
        <f>AVERAGE(A22:A42)</f>
        <v>5.4212550000000004</v>
      </c>
      <c r="B43">
        <f>AVERAGE(B22:B42)</f>
        <v>5.2454761904761922</v>
      </c>
      <c r="C43">
        <f>AVERAGE(C22:C42)</f>
        <v>32.225047619047622</v>
      </c>
      <c r="D43">
        <f>AVERAGE(D22:D41)</f>
        <v>68.389634999999984</v>
      </c>
      <c r="E43" s="4">
        <f>AVERAGE(E22:E41)</f>
        <v>78.270115000000004</v>
      </c>
    </row>
    <row r="44" spans="1:5" x14ac:dyDescent="0.2">
      <c r="C44">
        <v>23</v>
      </c>
    </row>
    <row r="45" spans="1:5" x14ac:dyDescent="0.2">
      <c r="A45" t="s">
        <v>8</v>
      </c>
      <c r="C45" t="s">
        <v>9</v>
      </c>
    </row>
    <row r="46" spans="1:5" x14ac:dyDescent="0.2">
      <c r="A46" t="s">
        <v>10</v>
      </c>
      <c r="C46">
        <v>1.6</v>
      </c>
    </row>
    <row r="47" spans="1:5" x14ac:dyDescent="0.2">
      <c r="A47" t="s">
        <v>11</v>
      </c>
      <c r="C47">
        <v>10.29</v>
      </c>
    </row>
    <row r="50" spans="1:10" ht="38" customHeight="1" x14ac:dyDescent="0.2">
      <c r="F50" s="3" t="s">
        <v>16</v>
      </c>
    </row>
    <row r="51" spans="1:10" x14ac:dyDescent="0.2">
      <c r="A51" t="s">
        <v>12</v>
      </c>
      <c r="F51" t="s">
        <v>15</v>
      </c>
    </row>
    <row r="52" spans="1:10" x14ac:dyDescent="0.2">
      <c r="A52" t="s">
        <v>13</v>
      </c>
      <c r="B52">
        <v>1.51</v>
      </c>
      <c r="C52">
        <v>1.38</v>
      </c>
      <c r="F52">
        <v>44</v>
      </c>
    </row>
    <row r="53" spans="1:10" x14ac:dyDescent="0.2">
      <c r="A53" t="s">
        <v>14</v>
      </c>
      <c r="B53">
        <v>12.25</v>
      </c>
      <c r="F53">
        <v>12.49</v>
      </c>
    </row>
    <row r="54" spans="1:10" x14ac:dyDescent="0.2">
      <c r="A54" t="s">
        <v>17</v>
      </c>
      <c r="B54">
        <v>40</v>
      </c>
      <c r="D54">
        <v>50</v>
      </c>
    </row>
    <row r="55" spans="1:10" x14ac:dyDescent="0.2">
      <c r="A55" t="s">
        <v>18</v>
      </c>
      <c r="G55">
        <v>300</v>
      </c>
    </row>
    <row r="56" spans="1:10" x14ac:dyDescent="0.2">
      <c r="B56" s="1" t="s">
        <v>3</v>
      </c>
      <c r="D56" s="1" t="s">
        <v>6</v>
      </c>
      <c r="F56" s="1" t="s">
        <v>4</v>
      </c>
    </row>
    <row r="57" spans="1:10" x14ac:dyDescent="0.2">
      <c r="C57" s="1"/>
      <c r="D57" s="1"/>
    </row>
    <row r="58" spans="1:10" x14ac:dyDescent="0.2">
      <c r="B58" s="2">
        <v>5.0663</v>
      </c>
      <c r="C58" s="2">
        <v>6.2850000000000001</v>
      </c>
      <c r="D58" s="2">
        <v>42.7864</v>
      </c>
      <c r="E58" s="2">
        <v>42.7864</v>
      </c>
      <c r="F58" s="2">
        <v>84.4238</v>
      </c>
      <c r="G58" s="2">
        <v>74.518500000000003</v>
      </c>
      <c r="I58">
        <v>79.8</v>
      </c>
      <c r="J58">
        <v>71.3</v>
      </c>
    </row>
    <row r="59" spans="1:10" x14ac:dyDescent="0.2">
      <c r="B59" s="2">
        <v>5.3907999999999996</v>
      </c>
      <c r="C59" s="2">
        <v>5.9259000000000004</v>
      </c>
      <c r="D59" s="2">
        <v>42.590400000000002</v>
      </c>
      <c r="E59" s="2">
        <v>42.590400000000002</v>
      </c>
      <c r="F59" s="2">
        <v>99.937200000000004</v>
      </c>
      <c r="G59" s="2">
        <v>80.677099999999996</v>
      </c>
      <c r="I59">
        <v>83.08</v>
      </c>
      <c r="J59">
        <v>79.180000000000007</v>
      </c>
    </row>
    <row r="60" spans="1:10" x14ac:dyDescent="0.2">
      <c r="B60" s="2">
        <v>5.2252000000000001</v>
      </c>
      <c r="C60" s="2">
        <v>5.0946999999999996</v>
      </c>
      <c r="D60" s="2">
        <v>35.92</v>
      </c>
      <c r="E60" s="2">
        <v>35.92</v>
      </c>
      <c r="F60" s="2">
        <v>79.118099999999998</v>
      </c>
      <c r="G60" s="2">
        <v>78.223299999999995</v>
      </c>
      <c r="I60">
        <v>81.94</v>
      </c>
      <c r="J60">
        <v>85.18</v>
      </c>
    </row>
    <row r="61" spans="1:10" x14ac:dyDescent="0.2">
      <c r="B61" s="2">
        <v>7.5467000000000004</v>
      </c>
      <c r="C61" s="2">
        <v>7.0170000000000003</v>
      </c>
      <c r="D61" s="2">
        <v>36.232700000000001</v>
      </c>
      <c r="E61" s="2">
        <v>36.232700000000001</v>
      </c>
      <c r="F61" s="2">
        <v>86.91</v>
      </c>
      <c r="G61" s="2">
        <v>80.318200000000004</v>
      </c>
      <c r="I61">
        <v>89.02</v>
      </c>
      <c r="J61">
        <v>81.599999999999994</v>
      </c>
    </row>
    <row r="62" spans="1:10" x14ac:dyDescent="0.2">
      <c r="B62" s="2">
        <v>6.3910999999999998</v>
      </c>
      <c r="C62" s="2">
        <v>6.1814</v>
      </c>
      <c r="D62" s="2">
        <v>40.923000000000002</v>
      </c>
      <c r="E62" s="2">
        <v>40.923000000000002</v>
      </c>
      <c r="F62" s="2">
        <v>95.707999999999998</v>
      </c>
      <c r="G62" s="2">
        <v>84.814999999999998</v>
      </c>
      <c r="I62">
        <v>97.6</v>
      </c>
      <c r="J62">
        <v>83.5</v>
      </c>
    </row>
    <row r="63" spans="1:10" x14ac:dyDescent="0.2">
      <c r="B63" s="2">
        <v>7.2968000000000002</v>
      </c>
      <c r="C63" s="2">
        <v>7.3335999999999997</v>
      </c>
      <c r="D63" s="2">
        <v>39.414000000000001</v>
      </c>
      <c r="E63" s="2">
        <v>39.414000000000001</v>
      </c>
      <c r="F63" s="2">
        <v>97.331800000000001</v>
      </c>
      <c r="G63" s="2">
        <v>89.665199999999999</v>
      </c>
      <c r="I63">
        <v>95.97</v>
      </c>
      <c r="J63">
        <v>93.7</v>
      </c>
    </row>
    <row r="64" spans="1:10" x14ac:dyDescent="0.2">
      <c r="B64" s="2">
        <v>5.8478000000000003</v>
      </c>
      <c r="C64" s="2">
        <v>5.4486999999999997</v>
      </c>
      <c r="D64" s="2">
        <v>39.871200000000002</v>
      </c>
      <c r="E64" s="2">
        <v>39.871200000000002</v>
      </c>
      <c r="F64" s="2">
        <v>88.343299999999999</v>
      </c>
      <c r="G64" s="2">
        <v>98.330399999999997</v>
      </c>
    </row>
    <row r="65" spans="1:11" x14ac:dyDescent="0.2">
      <c r="B65" s="2">
        <v>5.9576000000000002</v>
      </c>
      <c r="C65" s="2">
        <v>6.6395</v>
      </c>
      <c r="D65" s="2">
        <v>39.591299999999997</v>
      </c>
      <c r="E65" s="2">
        <v>39.591299999999997</v>
      </c>
      <c r="F65" s="2">
        <v>93.226699999999994</v>
      </c>
      <c r="G65" s="2">
        <v>99.391300000000001</v>
      </c>
    </row>
    <row r="66" spans="1:11" x14ac:dyDescent="0.2">
      <c r="B66" s="2">
        <v>6.6763000000000003</v>
      </c>
      <c r="C66" s="2">
        <v>5.3120000000000003</v>
      </c>
      <c r="D66" s="2">
        <v>43.294499999999999</v>
      </c>
      <c r="E66" s="2">
        <v>43.294499999999999</v>
      </c>
      <c r="F66" s="2">
        <v>101.9854</v>
      </c>
      <c r="G66" s="2">
        <v>95.948800000000006</v>
      </c>
    </row>
    <row r="67" spans="1:11" x14ac:dyDescent="0.2">
      <c r="B67" s="2">
        <v>6.4202000000000004</v>
      </c>
      <c r="C67" s="2">
        <v>7.1029999999999998</v>
      </c>
      <c r="D67" s="2">
        <v>41.426400000000001</v>
      </c>
      <c r="E67" s="2">
        <v>41.426400000000001</v>
      </c>
      <c r="F67" s="2">
        <v>101.7574</v>
      </c>
      <c r="G67" s="2">
        <v>103.542</v>
      </c>
    </row>
    <row r="68" spans="1:11" x14ac:dyDescent="0.2">
      <c r="B68" s="2">
        <v>5.8901000000000003</v>
      </c>
      <c r="C68" s="2">
        <v>5.2843999999999998</v>
      </c>
      <c r="D68" s="2">
        <v>38.178699999999999</v>
      </c>
      <c r="E68" s="2">
        <v>38.178699999999999</v>
      </c>
      <c r="F68" s="2">
        <v>93.750699999999995</v>
      </c>
      <c r="G68" s="2">
        <v>90.714699999999993</v>
      </c>
    </row>
    <row r="69" spans="1:11" x14ac:dyDescent="0.2">
      <c r="B69" s="2">
        <v>5.4686000000000003</v>
      </c>
      <c r="C69" s="2">
        <v>6.2750000000000004</v>
      </c>
      <c r="D69" s="2">
        <v>45.794600000000003</v>
      </c>
      <c r="E69" s="2">
        <v>45.794600000000003</v>
      </c>
      <c r="F69" s="2">
        <v>99.776799999999994</v>
      </c>
      <c r="G69" s="2">
        <v>93.0535</v>
      </c>
    </row>
    <row r="70" spans="1:11" x14ac:dyDescent="0.2">
      <c r="B70" s="2">
        <v>6.9819000000000004</v>
      </c>
      <c r="C70" s="2">
        <v>6.2084999999999999</v>
      </c>
      <c r="D70" s="2">
        <v>44.7027</v>
      </c>
      <c r="E70" s="2">
        <v>44.7027</v>
      </c>
      <c r="F70" s="2">
        <v>99.058400000000006</v>
      </c>
      <c r="G70" s="2">
        <v>96.346100000000007</v>
      </c>
    </row>
    <row r="71" spans="1:11" x14ac:dyDescent="0.2">
      <c r="B71" s="2">
        <v>7.4047000000000001</v>
      </c>
      <c r="C71" s="2">
        <v>5.5628000000000002</v>
      </c>
      <c r="D71" s="2">
        <v>41.151600000000002</v>
      </c>
      <c r="E71" s="2">
        <v>41.151600000000002</v>
      </c>
      <c r="F71" s="2">
        <v>99.935400000000001</v>
      </c>
      <c r="G71" s="2">
        <v>99.628500000000003</v>
      </c>
    </row>
    <row r="72" spans="1:11" x14ac:dyDescent="0.2">
      <c r="B72" s="2">
        <v>5.399</v>
      </c>
      <c r="C72" s="2">
        <v>5.9867999999999997</v>
      </c>
      <c r="D72" s="2">
        <v>45.243499999999997</v>
      </c>
      <c r="E72" s="2">
        <v>45.243499999999997</v>
      </c>
      <c r="F72" s="2">
        <v>111.1891</v>
      </c>
      <c r="G72" s="2">
        <v>93.397000000000006</v>
      </c>
    </row>
    <row r="73" spans="1:11" x14ac:dyDescent="0.2">
      <c r="B73" s="2">
        <v>7.6493000000000002</v>
      </c>
      <c r="C73" s="2">
        <v>6.3045999999999998</v>
      </c>
      <c r="D73" s="2">
        <v>46.505200000000002</v>
      </c>
      <c r="E73" s="2">
        <v>46.505200000000002</v>
      </c>
      <c r="F73" s="2">
        <v>96.431100000000001</v>
      </c>
      <c r="G73" s="2">
        <v>99.585700000000003</v>
      </c>
    </row>
    <row r="74" spans="1:11" x14ac:dyDescent="0.2">
      <c r="B74" s="2">
        <v>5.9461000000000004</v>
      </c>
      <c r="C74" s="2">
        <v>7.1986999999999997</v>
      </c>
      <c r="D74" s="2">
        <v>44.154200000000003</v>
      </c>
      <c r="E74" s="2">
        <v>44.154200000000003</v>
      </c>
      <c r="F74" s="2">
        <v>102.68300000000001</v>
      </c>
      <c r="G74" s="2">
        <v>82.903800000000004</v>
      </c>
    </row>
    <row r="75" spans="1:11" x14ac:dyDescent="0.2">
      <c r="B75" s="2">
        <v>6.2641</v>
      </c>
      <c r="C75" s="2">
        <v>6.0488999999999997</v>
      </c>
      <c r="D75" s="2">
        <v>42.5349</v>
      </c>
      <c r="E75" s="2">
        <v>42.5349</v>
      </c>
      <c r="F75" s="2">
        <v>95.55</v>
      </c>
      <c r="G75" s="2">
        <v>101.59399999999999</v>
      </c>
    </row>
    <row r="76" spans="1:11" x14ac:dyDescent="0.2">
      <c r="B76" s="2">
        <v>6.4236000000000004</v>
      </c>
      <c r="C76" s="2">
        <v>6.9311999999999996</v>
      </c>
      <c r="D76" s="2">
        <v>45.432400000000001</v>
      </c>
      <c r="E76" s="2">
        <v>45.432400000000001</v>
      </c>
      <c r="F76" s="2">
        <v>100.77249999999999</v>
      </c>
      <c r="G76" s="2">
        <v>103.87130000000001</v>
      </c>
    </row>
    <row r="77" spans="1:11" x14ac:dyDescent="0.2">
      <c r="B77" s="2">
        <v>6.0102000000000002</v>
      </c>
      <c r="C77" s="2">
        <v>5.7422000000000004</v>
      </c>
      <c r="D77" s="2">
        <v>40.1004</v>
      </c>
      <c r="E77" s="2">
        <v>40.1004</v>
      </c>
      <c r="F77" s="2">
        <v>81.733900000000006</v>
      </c>
      <c r="G77" s="2">
        <v>96.125100000000003</v>
      </c>
    </row>
    <row r="80" spans="1:11" x14ac:dyDescent="0.2">
      <c r="A80" t="s">
        <v>19</v>
      </c>
      <c r="B80" s="1" t="s">
        <v>3</v>
      </c>
      <c r="F80" s="1" t="s">
        <v>6</v>
      </c>
      <c r="K80" s="1" t="s">
        <v>4</v>
      </c>
    </row>
    <row r="81" spans="1:14" x14ac:dyDescent="0.2">
      <c r="A81" t="s">
        <v>20</v>
      </c>
      <c r="B81" s="1" t="s">
        <v>21</v>
      </c>
      <c r="F81" s="1"/>
      <c r="K81" s="1"/>
    </row>
    <row r="82" spans="1:14" x14ac:dyDescent="0.2">
      <c r="B82" s="1"/>
      <c r="F82" s="1"/>
      <c r="K82" s="1"/>
    </row>
    <row r="83" spans="1:14" x14ac:dyDescent="0.2">
      <c r="B83">
        <v>7.6917</v>
      </c>
      <c r="C83">
        <v>10.2828</v>
      </c>
      <c r="D83">
        <v>7.2590000000000003</v>
      </c>
      <c r="E83">
        <v>7.6138000000000003</v>
      </c>
      <c r="K83" s="2">
        <v>136.8502</v>
      </c>
      <c r="L83" s="2">
        <v>134.2534</v>
      </c>
      <c r="M83" s="2">
        <v>130.8287</v>
      </c>
      <c r="N83" s="2">
        <v>128.78229999999999</v>
      </c>
    </row>
    <row r="84" spans="1:14" x14ac:dyDescent="0.2">
      <c r="B84">
        <v>7.5831</v>
      </c>
      <c r="C84">
        <v>8.6729000000000003</v>
      </c>
      <c r="D84">
        <v>8.9604999999999997</v>
      </c>
      <c r="E84">
        <v>8.3847000000000005</v>
      </c>
      <c r="K84" s="2">
        <v>146.8972</v>
      </c>
      <c r="L84" s="2">
        <v>146.614</v>
      </c>
      <c r="M84" s="2">
        <v>142.53870000000001</v>
      </c>
      <c r="N84" s="2">
        <v>141.74860000000001</v>
      </c>
    </row>
    <row r="85" spans="1:14" x14ac:dyDescent="0.2">
      <c r="B85">
        <v>9.8780999999999999</v>
      </c>
      <c r="C85">
        <v>8.3956</v>
      </c>
      <c r="D85">
        <v>8.0127000000000006</v>
      </c>
      <c r="E85">
        <v>7.3567999999999998</v>
      </c>
      <c r="K85" s="2">
        <v>159.3124</v>
      </c>
      <c r="L85" s="2">
        <v>159.20140000000001</v>
      </c>
      <c r="M85" s="2">
        <v>156.89519999999999</v>
      </c>
      <c r="N85" s="2">
        <v>156.8929</v>
      </c>
    </row>
    <row r="86" spans="1:14" x14ac:dyDescent="0.2">
      <c r="B86">
        <v>9.5992999999999995</v>
      </c>
      <c r="C86">
        <v>8.2507999999999999</v>
      </c>
      <c r="D86">
        <v>7.8319000000000001</v>
      </c>
      <c r="E86">
        <v>7.6208999999999998</v>
      </c>
      <c r="K86" s="2">
        <v>139.8657</v>
      </c>
      <c r="L86" s="2">
        <v>138.67240000000001</v>
      </c>
      <c r="M86" s="2">
        <v>135.57560000000001</v>
      </c>
      <c r="N86" s="2">
        <v>136.7235</v>
      </c>
    </row>
    <row r="87" spans="1:14" x14ac:dyDescent="0.2">
      <c r="B87">
        <v>11.285399999999999</v>
      </c>
      <c r="C87">
        <v>12.0189</v>
      </c>
      <c r="D87">
        <v>9.2471999999999994</v>
      </c>
      <c r="E87">
        <v>9.6605000000000008</v>
      </c>
      <c r="K87" s="2">
        <v>153.59690000000001</v>
      </c>
      <c r="L87" s="2">
        <v>152.39660000000001</v>
      </c>
      <c r="M87" s="2">
        <v>149.2884</v>
      </c>
      <c r="N87" s="2">
        <v>149.20429999999999</v>
      </c>
    </row>
    <row r="88" spans="1:14" x14ac:dyDescent="0.2">
      <c r="B88">
        <v>13.1318</v>
      </c>
      <c r="C88">
        <v>10.1724</v>
      </c>
      <c r="D88">
        <v>9.7386999999999997</v>
      </c>
      <c r="E88">
        <v>12.0572</v>
      </c>
    </row>
    <row r="89" spans="1:14" x14ac:dyDescent="0.2">
      <c r="B89">
        <v>12.327199999999999</v>
      </c>
      <c r="C89">
        <v>10.111599999999999</v>
      </c>
      <c r="D89">
        <v>10.597</v>
      </c>
      <c r="E89">
        <v>9.9960000000000004</v>
      </c>
      <c r="K89" s="2">
        <f>AVERAGE(K83:K87)</f>
        <v>147.30448000000001</v>
      </c>
      <c r="L89" s="2">
        <f>AVERAGE(L83:L87)</f>
        <v>146.22756000000001</v>
      </c>
      <c r="M89" s="2">
        <f>AVERAGE(M83:M87)</f>
        <v>143.02531999999999</v>
      </c>
      <c r="N89" s="2">
        <f>AVERAGE(N83:N87)</f>
        <v>142.67032</v>
      </c>
    </row>
    <row r="90" spans="1:14" x14ac:dyDescent="0.2">
      <c r="B90">
        <v>11.069599999999999</v>
      </c>
      <c r="C90">
        <v>13.444100000000001</v>
      </c>
      <c r="D90">
        <v>11.090299999999999</v>
      </c>
      <c r="E90">
        <v>12.0219</v>
      </c>
    </row>
    <row r="91" spans="1:14" x14ac:dyDescent="0.2">
      <c r="B91">
        <v>11.6275</v>
      </c>
      <c r="C91">
        <v>11.5989</v>
      </c>
      <c r="D91">
        <v>10.434900000000001</v>
      </c>
      <c r="E91">
        <v>12.228400000000001</v>
      </c>
    </row>
    <row r="92" spans="1:14" x14ac:dyDescent="0.2">
      <c r="B92">
        <v>10.721500000000001</v>
      </c>
      <c r="C92">
        <v>13.618399999999999</v>
      </c>
      <c r="D92">
        <v>12.4222</v>
      </c>
      <c r="E92">
        <v>13.2935</v>
      </c>
    </row>
    <row r="93" spans="1:14" x14ac:dyDescent="0.2">
      <c r="B93">
        <v>11.503500000000001</v>
      </c>
      <c r="C93">
        <v>10.248799999999999</v>
      </c>
      <c r="D93">
        <v>11.326700000000001</v>
      </c>
      <c r="E93">
        <v>11.420299999999999</v>
      </c>
    </row>
    <row r="94" spans="1:14" x14ac:dyDescent="0.2">
      <c r="B94">
        <v>10.8818</v>
      </c>
      <c r="C94">
        <v>10.6784</v>
      </c>
      <c r="D94">
        <v>9.9116999999999997</v>
      </c>
      <c r="E94">
        <v>12.5893</v>
      </c>
    </row>
    <row r="95" spans="1:14" x14ac:dyDescent="0.2">
      <c r="B95">
        <v>11.6469</v>
      </c>
      <c r="C95">
        <v>9.8781999999999996</v>
      </c>
      <c r="D95">
        <v>10.7052</v>
      </c>
      <c r="E95">
        <v>10.8064</v>
      </c>
    </row>
    <row r="96" spans="1:14" x14ac:dyDescent="0.2">
      <c r="B96">
        <v>10.8789</v>
      </c>
      <c r="C96">
        <v>13.2155</v>
      </c>
      <c r="D96">
        <v>11.4659</v>
      </c>
      <c r="E96">
        <v>11.486700000000001</v>
      </c>
    </row>
    <row r="97" spans="2:5" x14ac:dyDescent="0.2">
      <c r="B97">
        <v>12.272600000000001</v>
      </c>
      <c r="C97">
        <v>10.336399999999999</v>
      </c>
      <c r="D97">
        <v>10.3911</v>
      </c>
      <c r="E97">
        <v>11.491300000000001</v>
      </c>
    </row>
    <row r="98" spans="2:5" x14ac:dyDescent="0.2">
      <c r="B98">
        <v>12.2911</v>
      </c>
      <c r="C98">
        <v>11.2677</v>
      </c>
      <c r="D98">
        <v>11.8497</v>
      </c>
      <c r="E98">
        <v>13.4679</v>
      </c>
    </row>
    <row r="99" spans="2:5" x14ac:dyDescent="0.2">
      <c r="B99">
        <v>14.4039</v>
      </c>
      <c r="C99">
        <v>11.196999999999999</v>
      </c>
      <c r="D99">
        <v>11.116300000000001</v>
      </c>
      <c r="E99">
        <v>10.0405</v>
      </c>
    </row>
    <row r="100" spans="2:5" x14ac:dyDescent="0.2">
      <c r="B100">
        <v>12.8102</v>
      </c>
      <c r="C100">
        <v>13.5025</v>
      </c>
      <c r="D100">
        <v>11.4268</v>
      </c>
      <c r="E100">
        <v>11.8803</v>
      </c>
    </row>
    <row r="101" spans="2:5" x14ac:dyDescent="0.2">
      <c r="B101">
        <v>10.7568</v>
      </c>
      <c r="C101">
        <v>11.819699999999999</v>
      </c>
      <c r="D101">
        <v>12.8925</v>
      </c>
      <c r="E101">
        <v>12.33</v>
      </c>
    </row>
    <row r="102" spans="2:5" x14ac:dyDescent="0.2">
      <c r="B102">
        <v>6.4588000000000001</v>
      </c>
      <c r="C102">
        <v>7.4824000000000002</v>
      </c>
      <c r="D102">
        <v>10.675800000000001</v>
      </c>
      <c r="E102">
        <v>11.262600000000001</v>
      </c>
    </row>
    <row r="104" spans="2:5" x14ac:dyDescent="0.2">
      <c r="B104">
        <f>AVERAGE(B83:B102)</f>
        <v>10.940985</v>
      </c>
      <c r="C104">
        <f>AVERAGE(C83:C102)</f>
        <v>10.809650000000001</v>
      </c>
      <c r="D104">
        <f>AVERAGE(D83:D102)</f>
        <v>10.367805000000001</v>
      </c>
      <c r="E104">
        <f>AVERAGE(E83:E102)</f>
        <v>10.850450000000002</v>
      </c>
    </row>
    <row r="109" spans="2:5" x14ac:dyDescent="0.2">
      <c r="B109">
        <v>141.63319999999999</v>
      </c>
      <c r="C109">
        <v>144.01660000000001</v>
      </c>
      <c r="D109">
        <v>143.28800000000001</v>
      </c>
      <c r="E109">
        <v>153.9271</v>
      </c>
    </row>
    <row r="110" spans="2:5" x14ac:dyDescent="0.2">
      <c r="B110">
        <v>160.09729999999999</v>
      </c>
      <c r="C110">
        <v>166.02709999999999</v>
      </c>
      <c r="D110">
        <v>155.6472</v>
      </c>
      <c r="E110">
        <v>167.3605</v>
      </c>
    </row>
    <row r="111" spans="2:5" x14ac:dyDescent="0.2">
      <c r="B111">
        <v>156.77959999999999</v>
      </c>
      <c r="C111">
        <v>171.92250000000001</v>
      </c>
      <c r="D111">
        <v>172.7627</v>
      </c>
      <c r="E111">
        <v>170.80889999999999</v>
      </c>
    </row>
    <row r="112" spans="2:5" x14ac:dyDescent="0.2">
      <c r="B112">
        <v>159.7766</v>
      </c>
      <c r="C112">
        <v>184.20490000000001</v>
      </c>
      <c r="D112">
        <v>165.47319999999999</v>
      </c>
      <c r="E112">
        <v>176.88499999999999</v>
      </c>
    </row>
    <row r="113" spans="2:5" x14ac:dyDescent="0.2">
      <c r="B113">
        <v>178.76840000000001</v>
      </c>
      <c r="C113">
        <v>181.8819</v>
      </c>
      <c r="D113">
        <v>167.98859999999999</v>
      </c>
      <c r="E113">
        <v>178.03200000000001</v>
      </c>
    </row>
    <row r="114" spans="2:5" x14ac:dyDescent="0.2">
      <c r="B114">
        <v>159.81710000000001</v>
      </c>
      <c r="C114">
        <v>181.32300000000001</v>
      </c>
      <c r="D114">
        <v>188.7543</v>
      </c>
      <c r="E114">
        <v>192.9794</v>
      </c>
    </row>
    <row r="115" spans="2:5" x14ac:dyDescent="0.2">
      <c r="B115">
        <v>165.3554</v>
      </c>
      <c r="C115">
        <v>175.13339999999999</v>
      </c>
      <c r="D115">
        <v>186.60329999999999</v>
      </c>
      <c r="E115">
        <v>189.2724</v>
      </c>
    </row>
    <row r="116" spans="2:5" x14ac:dyDescent="0.2">
      <c r="B116">
        <v>167.37139999999999</v>
      </c>
      <c r="C116">
        <v>183.2448</v>
      </c>
      <c r="D116">
        <v>176.2824</v>
      </c>
      <c r="E116">
        <v>180.1748</v>
      </c>
    </row>
    <row r="117" spans="2:5" x14ac:dyDescent="0.2">
      <c r="B117">
        <v>156.77780000000001</v>
      </c>
      <c r="C117">
        <v>176.0317</v>
      </c>
      <c r="D117">
        <v>164.9273</v>
      </c>
      <c r="E117">
        <v>197.06639999999999</v>
      </c>
    </row>
    <row r="118" spans="2:5" x14ac:dyDescent="0.2">
      <c r="B118">
        <v>170.9837</v>
      </c>
      <c r="C118">
        <v>186.3537</v>
      </c>
      <c r="D118">
        <v>188.3</v>
      </c>
      <c r="E118">
        <v>184.20189999999999</v>
      </c>
    </row>
    <row r="119" spans="2:5" x14ac:dyDescent="0.2">
      <c r="B119">
        <v>169.43510000000001</v>
      </c>
      <c r="C119">
        <v>173.87430000000001</v>
      </c>
      <c r="D119">
        <v>194.85140000000001</v>
      </c>
      <c r="E119">
        <v>180.9522</v>
      </c>
    </row>
    <row r="120" spans="2:5" x14ac:dyDescent="0.2">
      <c r="B120">
        <v>166.89</v>
      </c>
      <c r="C120">
        <v>166.87209999999999</v>
      </c>
      <c r="D120">
        <v>185.88929999999999</v>
      </c>
      <c r="E120">
        <v>180.91829999999999</v>
      </c>
    </row>
    <row r="121" spans="2:5" x14ac:dyDescent="0.2">
      <c r="B121">
        <v>173.1507</v>
      </c>
      <c r="C121">
        <v>184.9896</v>
      </c>
      <c r="D121">
        <v>180.48330000000001</v>
      </c>
      <c r="E121">
        <v>191.84780000000001</v>
      </c>
    </row>
    <row r="122" spans="2:5" x14ac:dyDescent="0.2">
      <c r="B122">
        <v>165.0454</v>
      </c>
      <c r="C122">
        <v>183.58869999999999</v>
      </c>
      <c r="D122">
        <v>174.69649999999999</v>
      </c>
      <c r="E122">
        <v>195.2313</v>
      </c>
    </row>
    <row r="123" spans="2:5" x14ac:dyDescent="0.2">
      <c r="B123">
        <v>165.37190000000001</v>
      </c>
      <c r="C123">
        <v>195.94720000000001</v>
      </c>
      <c r="D123">
        <v>193.0179</v>
      </c>
      <c r="E123">
        <v>175.99029999999999</v>
      </c>
    </row>
    <row r="124" spans="2:5" x14ac:dyDescent="0.2">
      <c r="B124">
        <v>161.17779999999999</v>
      </c>
      <c r="C124">
        <v>177.012</v>
      </c>
      <c r="D124">
        <v>172.0478</v>
      </c>
      <c r="E124">
        <v>183.36490000000001</v>
      </c>
    </row>
    <row r="125" spans="2:5" x14ac:dyDescent="0.2">
      <c r="B125">
        <v>164.5393</v>
      </c>
      <c r="C125">
        <v>179.66130000000001</v>
      </c>
      <c r="D125">
        <v>177.3492</v>
      </c>
      <c r="E125">
        <v>188.98509999999999</v>
      </c>
    </row>
    <row r="126" spans="2:5" x14ac:dyDescent="0.2">
      <c r="B126">
        <v>157.8852</v>
      </c>
      <c r="C126">
        <v>186.01900000000001</v>
      </c>
      <c r="D126">
        <v>181.42920000000001</v>
      </c>
      <c r="E126">
        <v>192.5641</v>
      </c>
    </row>
    <row r="127" spans="2:5" x14ac:dyDescent="0.2">
      <c r="B127">
        <v>175.22020000000001</v>
      </c>
      <c r="C127">
        <v>173.5564</v>
      </c>
      <c r="D127">
        <v>180.2047</v>
      </c>
      <c r="E127">
        <v>163.43539999999999</v>
      </c>
    </row>
    <row r="128" spans="2:5" x14ac:dyDescent="0.2">
      <c r="B128">
        <v>167.70750000000001</v>
      </c>
    </row>
    <row r="130" spans="2:5" x14ac:dyDescent="0.2">
      <c r="B130">
        <f>AVERAGE(B109:B129)</f>
        <v>164.18918000000002</v>
      </c>
      <c r="C130">
        <f>AVERAGE(C109:C129)</f>
        <v>177.45579999999998</v>
      </c>
      <c r="D130">
        <f>AVERAGE(D109:D129)</f>
        <v>176.31559473684209</v>
      </c>
      <c r="E130">
        <f>AVERAGE(E109:E129)</f>
        <v>181.26304210526314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2023-05-01T18:08:42Z</dcterms:created>
  <dcterms:modified xsi:type="dcterms:W3CDTF">2023-05-02T19:02:39Z</dcterms:modified>
</cp:coreProperties>
</file>